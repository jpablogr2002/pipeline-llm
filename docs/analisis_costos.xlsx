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abl\Downloads\"/>
    </mc:Choice>
  </mc:AlternateContent>
  <xr:revisionPtr revIDLastSave="0" documentId="8_{964FACBA-173E-4FA4-9AB3-32FAEE421AC9}" xr6:coauthVersionLast="47" xr6:coauthVersionMax="47" xr10:uidLastSave="{00000000-0000-0000-0000-000000000000}"/>
  <bookViews>
    <workbookView xWindow="-108" yWindow="-108" windowWidth="23256" windowHeight="12456" xr2:uid="{2A0BC4BB-5404-4054-904F-3B74A15BF7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0" i="1" l="1"/>
</calcChain>
</file>

<file path=xl/sharedStrings.xml><?xml version="1.0" encoding="utf-8"?>
<sst xmlns="http://schemas.openxmlformats.org/spreadsheetml/2006/main" count="56" uniqueCount="47">
  <si>
    <t>Concepto</t>
  </si>
  <si>
    <t>Vertex AI (Gemini 3.5 Flash)</t>
  </si>
  <si>
    <t>Calculo / Estimación</t>
  </si>
  <si>
    <t>Costo Mensual Estimado (USD)</t>
  </si>
  <si>
    <t>Tokens de entrada</t>
  </si>
  <si>
    <t>Tokens de salida</t>
  </si>
  <si>
    <t xml:space="preserve">10M Tokens * 1.5$ / 1M Token </t>
  </si>
  <si>
    <t xml:space="preserve">1.5M Tokens * 9.0$ / 1M Token </t>
  </si>
  <si>
    <t>Cloud Run (Backend)</t>
  </si>
  <si>
    <t>CPU (por vCPU/segundo)</t>
  </si>
  <si>
    <t>Memoria (por GiB/segundo)</t>
  </si>
  <si>
    <t>108,000 seg * 0.5 GiB * $0.0000025 / seg</t>
  </si>
  <si>
    <t>Solicitudes (por cada millón) 2M de solicitudes se cubren gratuitamente</t>
  </si>
  <si>
    <t>Firebase (Base de Datos)</t>
  </si>
  <si>
    <t>Escritura</t>
  </si>
  <si>
    <t>Lectura de Dashboard</t>
  </si>
  <si>
    <t>20,000 consultas</t>
  </si>
  <si>
    <t>Almacenamiento (1GiB se cubre gratuitamente)</t>
  </si>
  <si>
    <t>108,000 seg * 1 vCPU * $0.000024 / seg</t>
  </si>
  <si>
    <t>20,000 consultas * $0.09 / 100,000</t>
  </si>
  <si>
    <t>5,000 lecturas * 0.03 / 100,000</t>
  </si>
  <si>
    <t>0.5 GiB</t>
  </si>
  <si>
    <t>2 × $0.06</t>
  </si>
  <si>
    <t>Secret Manager</t>
  </si>
  <si>
    <t>Operaciones de Acceso (10,000 lecturas se cubre gratuitamente)</t>
  </si>
  <si>
    <t>5,000 lecturas</t>
  </si>
  <si>
    <t>Versiones Activas (los primeros 6 meses son gratuitos)</t>
  </si>
  <si>
    <t>Total Estimado Mensual (USD)</t>
  </si>
  <si>
    <t>Criterio</t>
  </si>
  <si>
    <t>Vertex AI (GCP)</t>
  </si>
  <si>
    <t>Ollama Local (llama3.2:3b)</t>
  </si>
  <si>
    <t>Costo por 10k artículos</t>
  </si>
  <si>
    <t>Costo de Infraestructura</t>
  </si>
  <si>
    <t>Cloud Run escala a cero. Costo casi nulo en reposo.</t>
  </si>
  <si>
    <t>Calidad del Análisis</t>
  </si>
  <si>
    <t>Alta. Gemini 2.5 Flash es un modelo de última generación.</t>
  </si>
  <si>
    <t>Media. Modelos locales pequeños (3B) son menos precisos en tareas de razonamiento complejo.</t>
  </si>
  <si>
    <t>Latencia</t>
  </si>
  <si>
    <t>~2-3 segundos por artículo.</t>
  </si>
  <si>
    <t>Muy baja (local), pero depende del hardware de la VM.</t>
  </si>
  <si>
    <t>Mantenimiento</t>
  </si>
  <si>
    <t>Google gestiona la infraestructura.</t>
  </si>
  <si>
    <t>Tú debes gestionar la VM, actualizar Ollama y el modelo.</t>
  </si>
  <si>
    <t>~$16.78 USD/mes (pago por uso)</t>
  </si>
  <si>
    <t>$0.00 USD (en API), pero requiere un servidor propio (ej. VM con GPU).</t>
  </si>
  <si>
    <t>Necesitas mantener una VM encendida 24/7 (ej. g2-standard-4 con GPU L4 cuesta ~$0.70/hora = **~$500/mes**).</t>
  </si>
  <si>
    <t>Comparativa Gemini vs Ollama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</si>
</sst>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name val="Segoe UI"/>
      <family val="2"/>
    </font>
    <font>
      <sz val="11"/>
      <color rgb="FF212226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08674E-2596-484F-857F-77CFD62D901B}" name="Tabla1" displayName="Tabla1" ref="B8:D10" totalsRowShown="0" headerRowDxfId="21" dataDxfId="20">
  <autoFilter ref="B8:D10" xr:uid="{FE08674E-2596-484F-857F-77CFD62D901B}"/>
  <tableColumns count="3">
    <tableColumn id="1" xr3:uid="{5A97C515-685C-4BE9-BE41-893272CE5DD8}" name="Concepto" dataDxfId="24"/>
    <tableColumn id="2" xr3:uid="{57F03F67-A158-4DC6-9FBC-FD2BC3034731}" name="Calculo / Estimación" dataDxfId="23"/>
    <tableColumn id="3" xr3:uid="{A72C54B0-BD59-43B2-BE46-73BAAEEDA659}" name="Costo Mensual Estimado (USD)" dataDxfId="2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5A21E3-C790-4D35-81EB-DBD65B1B2292}" name="Tabla13" displayName="Tabla13" ref="B13:D16" totalsRowShown="0" headerRowDxfId="19" dataDxfId="17">
  <autoFilter ref="B13:D16" xr:uid="{495A21E3-C790-4D35-81EB-DBD65B1B2292}"/>
  <tableColumns count="3">
    <tableColumn id="1" xr3:uid="{A08497A0-062D-46AC-9784-D11CFA289605}" name="Concepto" dataDxfId="18"/>
    <tableColumn id="2" xr3:uid="{CC34C7F3-E38A-4997-9D49-F9FD68A139E5}" name="Calculo / Estimación" dataDxfId="10"/>
    <tableColumn id="3" xr3:uid="{FAF5C5DA-01ED-4820-A5B6-4402D8702DE4}" name="Costo Mensual Estimado (USD)" dataDxfId="9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A7DFFC-BEB4-4978-9B32-D3E841C9B118}" name="Tabla134" displayName="Tabla134" ref="B19:D22" totalsRowShown="0" headerRowDxfId="16" dataDxfId="15">
  <autoFilter ref="B19:D22" xr:uid="{E4A7DFFC-BEB4-4978-9B32-D3E841C9B118}"/>
  <tableColumns count="3">
    <tableColumn id="1" xr3:uid="{D1AD30D8-5B8C-4C4B-9AD0-A0CBDAC63325}" name="Concepto" dataDxfId="14"/>
    <tableColumn id="2" xr3:uid="{3709401D-F3C2-4BDF-BF05-80DB7AA1D93D}" name="Calculo / Estimación" dataDxfId="8"/>
    <tableColumn id="3" xr3:uid="{8903F3DE-C6C9-4FFD-A3BD-B72B955F17F6}" name="Costo Mensual Estimado (USD)" dataDxfId="7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8ED8DF-ADBB-4AE1-AA06-3AF7D257D4B7}" name="Tabla1345" displayName="Tabla1345" ref="B25:D27" totalsRowShown="0" headerRowDxfId="13" dataDxfId="12">
  <autoFilter ref="B25:D27" xr:uid="{B18ED8DF-ADBB-4AE1-AA06-3AF7D257D4B7}"/>
  <tableColumns count="3">
    <tableColumn id="1" xr3:uid="{BF7012BE-95BF-404C-B304-89CE4FBB042F}" name="Concepto" dataDxfId="11"/>
    <tableColumn id="2" xr3:uid="{7B587116-A47C-46E7-B40B-7FDDE72242EE}" name="Calculo / Estimación" dataDxfId="6"/>
    <tableColumn id="3" xr3:uid="{93A0612E-5AA5-4B2E-886F-CB04FA6B79E5}" name="Costo Mensual Estimado (USD)" dataDxfId="5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BEDA49-E3F3-4A3C-ADCF-CC5387DE192B}" name="Tabla2" displayName="Tabla2" ref="B35:D40" totalsRowShown="0" headerRowDxfId="1" dataDxfId="0">
  <autoFilter ref="B35:D40" xr:uid="{4ABEDA49-E3F3-4A3C-ADCF-CC5387DE192B}"/>
  <tableColumns count="3">
    <tableColumn id="1" xr3:uid="{06B5FA20-D2BD-4627-9B70-8EEA396FF605}" name="Criterio" dataDxfId="4"/>
    <tableColumn id="2" xr3:uid="{351431FF-E695-4FF9-91B6-ADF051DA4008}" name="Vertex AI (GCP)" dataDxfId="3"/>
    <tableColumn id="3" xr3:uid="{794F0551-1031-4588-9B5D-8B2CD631C8D2}" name="Ollama Local (llama3.2:3b)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C5889-0F32-4C8B-A150-EDBA0A053CC9}">
  <dimension ref="B7:D40"/>
  <sheetViews>
    <sheetView tabSelected="1" topLeftCell="A28" workbookViewId="0">
      <selection activeCell="F34" sqref="F34"/>
    </sheetView>
  </sheetViews>
  <sheetFormatPr baseColWidth="10" defaultRowHeight="14.4" x14ac:dyDescent="0.3"/>
  <cols>
    <col min="2" max="2" width="58.5546875" customWidth="1"/>
    <col min="3" max="3" width="32.109375" customWidth="1"/>
    <col min="4" max="4" width="32.44140625" customWidth="1"/>
    <col min="6" max="6" width="22.44140625" customWidth="1"/>
    <col min="7" max="7" width="20.77734375" customWidth="1"/>
  </cols>
  <sheetData>
    <row r="7" spans="2:4" x14ac:dyDescent="0.3">
      <c r="B7" s="2" t="s">
        <v>1</v>
      </c>
      <c r="C7" s="2"/>
      <c r="D7" s="2"/>
    </row>
    <row r="8" spans="2:4" x14ac:dyDescent="0.3">
      <c r="B8" s="1" t="s">
        <v>0</v>
      </c>
      <c r="C8" s="1" t="s">
        <v>2</v>
      </c>
      <c r="D8" s="1" t="s">
        <v>3</v>
      </c>
    </row>
    <row r="9" spans="2:4" x14ac:dyDescent="0.3">
      <c r="B9" s="1" t="s">
        <v>4</v>
      </c>
      <c r="C9" s="1" t="s">
        <v>6</v>
      </c>
      <c r="D9" s="5">
        <v>15</v>
      </c>
    </row>
    <row r="10" spans="2:4" x14ac:dyDescent="0.3">
      <c r="B10" s="1" t="s">
        <v>5</v>
      </c>
      <c r="C10" s="1" t="s">
        <v>7</v>
      </c>
      <c r="D10" s="5">
        <v>13.5</v>
      </c>
    </row>
    <row r="12" spans="2:4" x14ac:dyDescent="0.3">
      <c r="B12" s="2" t="s">
        <v>8</v>
      </c>
      <c r="C12" s="2"/>
      <c r="D12" s="2"/>
    </row>
    <row r="13" spans="2:4" x14ac:dyDescent="0.3">
      <c r="B13" s="1" t="s">
        <v>0</v>
      </c>
      <c r="C13" s="1" t="s">
        <v>2</v>
      </c>
      <c r="D13" s="1" t="s">
        <v>3</v>
      </c>
    </row>
    <row r="14" spans="2:4" x14ac:dyDescent="0.3">
      <c r="B14" s="1" t="s">
        <v>9</v>
      </c>
      <c r="C14" s="1" t="s">
        <v>18</v>
      </c>
      <c r="D14" s="5">
        <v>2.59</v>
      </c>
    </row>
    <row r="15" spans="2:4" x14ac:dyDescent="0.3">
      <c r="B15" s="1" t="s">
        <v>10</v>
      </c>
      <c r="C15" s="1" t="s">
        <v>11</v>
      </c>
      <c r="D15" s="5">
        <v>3.14</v>
      </c>
    </row>
    <row r="16" spans="2:4" x14ac:dyDescent="0.3">
      <c r="B16" s="3" t="s">
        <v>12</v>
      </c>
      <c r="C16" s="4" t="s">
        <v>16</v>
      </c>
      <c r="D16" s="5">
        <v>0</v>
      </c>
    </row>
    <row r="18" spans="2:4" x14ac:dyDescent="0.3">
      <c r="B18" s="2" t="s">
        <v>13</v>
      </c>
      <c r="C18" s="2"/>
      <c r="D18" s="2"/>
    </row>
    <row r="19" spans="2:4" x14ac:dyDescent="0.3">
      <c r="B19" s="1" t="s">
        <v>0</v>
      </c>
      <c r="C19" s="1" t="s">
        <v>2</v>
      </c>
      <c r="D19" s="1" t="s">
        <v>3</v>
      </c>
    </row>
    <row r="20" spans="2:4" x14ac:dyDescent="0.3">
      <c r="B20" s="1" t="s">
        <v>14</v>
      </c>
      <c r="C20" s="1" t="s">
        <v>19</v>
      </c>
      <c r="D20" s="5">
        <v>1.8E-3</v>
      </c>
    </row>
    <row r="21" spans="2:4" x14ac:dyDescent="0.3">
      <c r="B21" s="1" t="s">
        <v>15</v>
      </c>
      <c r="C21" s="1" t="s">
        <v>20</v>
      </c>
      <c r="D21" s="5">
        <v>1.5E-3</v>
      </c>
    </row>
    <row r="22" spans="2:4" x14ac:dyDescent="0.3">
      <c r="B22" s="3" t="s">
        <v>17</v>
      </c>
      <c r="C22" s="4" t="s">
        <v>21</v>
      </c>
      <c r="D22" s="5">
        <v>0</v>
      </c>
    </row>
    <row r="24" spans="2:4" x14ac:dyDescent="0.3">
      <c r="B24" s="2" t="s">
        <v>23</v>
      </c>
      <c r="C24" s="2"/>
      <c r="D24" s="2"/>
    </row>
    <row r="25" spans="2:4" x14ac:dyDescent="0.3">
      <c r="B25" s="1" t="s">
        <v>0</v>
      </c>
      <c r="C25" s="1" t="s">
        <v>2</v>
      </c>
      <c r="D25" s="1" t="s">
        <v>3</v>
      </c>
    </row>
    <row r="26" spans="2:4" x14ac:dyDescent="0.3">
      <c r="B26" s="1" t="s">
        <v>26</v>
      </c>
      <c r="C26" s="1" t="s">
        <v>22</v>
      </c>
      <c r="D26" s="5">
        <v>0.12</v>
      </c>
    </row>
    <row r="27" spans="2:4" x14ac:dyDescent="0.3">
      <c r="B27" s="1" t="s">
        <v>24</v>
      </c>
      <c r="C27" s="1" t="s">
        <v>25</v>
      </c>
      <c r="D27" s="5">
        <v>0</v>
      </c>
    </row>
    <row r="28" spans="2:4" x14ac:dyDescent="0.3">
      <c r="B28" s="3"/>
      <c r="C28" s="4"/>
      <c r="D28" s="1"/>
    </row>
    <row r="29" spans="2:4" x14ac:dyDescent="0.3">
      <c r="D29" s="6" t="s">
        <v>27</v>
      </c>
    </row>
    <row r="30" spans="2:4" x14ac:dyDescent="0.3">
      <c r="D30" s="7">
        <f>SUM(D9:D10,D14:D16,D20:D22,D26:D27)</f>
        <v>34.353299999999997</v>
      </c>
    </row>
    <row r="34" spans="2:4" x14ac:dyDescent="0.3">
      <c r="B34" s="2" t="s">
        <v>46</v>
      </c>
      <c r="C34" s="2"/>
      <c r="D34" s="2"/>
    </row>
    <row r="35" spans="2:4" x14ac:dyDescent="0.3">
      <c r="B35" s="8" t="s">
        <v>28</v>
      </c>
      <c r="C35" s="8" t="s">
        <v>29</v>
      </c>
      <c r="D35" s="8" t="s">
        <v>30</v>
      </c>
    </row>
    <row r="36" spans="2:4" ht="28.8" x14ac:dyDescent="0.3">
      <c r="B36" s="8" t="s">
        <v>31</v>
      </c>
      <c r="C36" s="8" t="s">
        <v>43</v>
      </c>
      <c r="D36" s="8" t="s">
        <v>44</v>
      </c>
    </row>
    <row r="37" spans="2:4" ht="57.6" x14ac:dyDescent="0.3">
      <c r="B37" s="8" t="s">
        <v>32</v>
      </c>
      <c r="C37" s="8" t="s">
        <v>33</v>
      </c>
      <c r="D37" s="8" t="s">
        <v>45</v>
      </c>
    </row>
    <row r="38" spans="2:4" ht="43.2" x14ac:dyDescent="0.3">
      <c r="B38" s="8" t="s">
        <v>34</v>
      </c>
      <c r="C38" s="8" t="s">
        <v>35</v>
      </c>
      <c r="D38" s="8" t="s">
        <v>36</v>
      </c>
    </row>
    <row r="39" spans="2:4" ht="28.8" x14ac:dyDescent="0.3">
      <c r="B39" s="8" t="s">
        <v>37</v>
      </c>
      <c r="C39" s="8" t="s">
        <v>38</v>
      </c>
      <c r="D39" s="8" t="s">
        <v>39</v>
      </c>
    </row>
    <row r="40" spans="2:4" ht="28.8" x14ac:dyDescent="0.3">
      <c r="B40" s="8" t="s">
        <v>40</v>
      </c>
      <c r="C40" s="8" t="s">
        <v>41</v>
      </c>
      <c r="D40" s="8" t="s">
        <v>42</v>
      </c>
    </row>
  </sheetData>
  <mergeCells count="5">
    <mergeCell ref="B7:D7"/>
    <mergeCell ref="B12:D12"/>
    <mergeCell ref="B18:D18"/>
    <mergeCell ref="B24:D24"/>
    <mergeCell ref="B34:D34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García Ruiz Cerda</dc:creator>
  <cp:lastModifiedBy>Juan Pablo García Ruiz Cerda</cp:lastModifiedBy>
  <dcterms:created xsi:type="dcterms:W3CDTF">2026-10-25T16:31:08Z</dcterms:created>
  <dcterms:modified xsi:type="dcterms:W3CDTF">2026-10-25T19:11:20Z</dcterms:modified>
</cp:coreProperties>
</file>